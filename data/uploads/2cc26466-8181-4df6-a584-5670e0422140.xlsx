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zhangrong/Desktop/"/>
    </mc:Choice>
  </mc:AlternateContent>
  <xr:revisionPtr revIDLastSave="0" documentId="13_ncr:1_{FF94ED6F-AA67-FC41-AA45-129A5D207BE6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S58" i="1"/>
  <c r="S55" i="1"/>
  <c r="Q55" i="1"/>
  <c r="Q56" i="1"/>
  <c r="S56" i="1" s="1"/>
  <c r="Q57" i="1"/>
  <c r="S57" i="1" s="1"/>
  <c r="Q58" i="1"/>
  <c r="G14" i="2"/>
  <c r="G3" i="2"/>
  <c r="G7" i="2"/>
  <c r="G4" i="2"/>
  <c r="G5" i="2"/>
  <c r="G6" i="2"/>
  <c r="G8" i="2"/>
  <c r="G9" i="2"/>
  <c r="G10" i="2"/>
  <c r="G11" i="2"/>
  <c r="G12" i="2"/>
  <c r="G1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2" i="2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2" i="1"/>
  <c r="S2" i="1" s="1"/>
  <c r="Q3" i="1"/>
  <c r="S3" i="1" s="1"/>
  <c r="Q4" i="1"/>
  <c r="S4" i="1" s="1"/>
  <c r="Q5" i="1"/>
  <c r="S5" i="1" s="1"/>
  <c r="Q6" i="1"/>
  <c r="S6" i="1" s="1"/>
  <c r="Q7" i="1"/>
  <c r="S7" i="1" s="1"/>
  <c r="Q8" i="1"/>
  <c r="Q9" i="1"/>
  <c r="Q10" i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V49" i="1"/>
  <c r="V46" i="1"/>
  <c r="V43" i="1"/>
  <c r="V42" i="1"/>
  <c r="V40" i="1"/>
  <c r="V39" i="1"/>
  <c r="AE37" i="1"/>
  <c r="AE36" i="1"/>
  <c r="AE35" i="1"/>
  <c r="V35" i="1"/>
  <c r="AE34" i="1"/>
  <c r="V34" i="1"/>
  <c r="AE33" i="1"/>
  <c r="AE32" i="1"/>
  <c r="V32" i="1"/>
  <c r="AE31" i="1"/>
  <c r="V31" i="1"/>
  <c r="AE30" i="1"/>
  <c r="AE29" i="1"/>
  <c r="V25" i="1"/>
  <c r="AE23" i="1"/>
  <c r="AE22" i="1"/>
  <c r="V22" i="1"/>
  <c r="AE21" i="1"/>
  <c r="AE20" i="1"/>
  <c r="AE19" i="1"/>
  <c r="AE18" i="1"/>
  <c r="V18" i="1"/>
  <c r="AE17" i="1"/>
  <c r="V17" i="1"/>
  <c r="AE16" i="1"/>
  <c r="AE15" i="1"/>
  <c r="AE14" i="1"/>
  <c r="AE13" i="1"/>
  <c r="AE12" i="1"/>
  <c r="V12" i="1"/>
  <c r="AE11" i="1"/>
  <c r="V11" i="1"/>
  <c r="AE10" i="1"/>
  <c r="V10" i="1"/>
  <c r="AE9" i="1"/>
  <c r="AE8" i="1"/>
  <c r="AE7" i="1"/>
  <c r="V7" i="1"/>
  <c r="AE6" i="1"/>
  <c r="V6" i="1"/>
  <c r="AE5" i="1"/>
  <c r="AE4" i="1"/>
  <c r="AE3" i="1"/>
  <c r="AE2" i="1"/>
  <c r="V2" i="1"/>
  <c r="AE1" i="1"/>
</calcChain>
</file>

<file path=xl/sharedStrings.xml><?xml version="1.0" encoding="utf-8"?>
<sst xmlns="http://schemas.openxmlformats.org/spreadsheetml/2006/main" count="260" uniqueCount="125">
  <si>
    <t>CBT所有已建联地址（去重后）</t>
  </si>
  <si>
    <t>详细地址</t>
  </si>
  <si>
    <t>1045 W CROSSROADS PKWY","UNIT A (DOCKS 36-49)</t>
  </si>
  <si>
    <t>1000 Bilter Rd Ofc,Aurora,IL 60502,USA</t>
  </si>
  <si>
    <t>1000 Bilter Rd,Aurora,IL 60502,USA</t>
  </si>
  <si>
    <t>1065 W North Thorndale Ave","Bensenville, IL 60106</t>
  </si>
  <si>
    <t>1100 Chase Ave unit A Elk Grove Village IL</t>
  </si>
  <si>
    <t>1111 W 35th St # 101,Chicago,IL 60609,USA</t>
  </si>
  <si>
    <t>1325 remington blvd，STE B</t>
  </si>
  <si>
    <t>1103 S Westwood Ave,Addison,IL 60101,USA</t>
  </si>
  <si>
    <t>1375 W THORNDALE AVE</t>
  </si>
  <si>
    <t>1111 W 35th St # 1005,Chicago,IL 60609,USA</t>
  </si>
  <si>
    <t>1111 W 35th St Unit 1005,Chicago,IL 60609,USA</t>
  </si>
  <si>
    <t>16317 W Prologis Pkwy,Lockport,IL 60441,USA</t>
  </si>
  <si>
    <t>179 S South Creek Pkwy
Romeoville, Will, Illinois, United States</t>
  </si>
  <si>
    <t>1111 W 35th St # 636,Chicago,IL 60609,USA</t>
  </si>
  <si>
    <t>2312 Touhy Ave Unit B Elk Grove Village IL</t>
  </si>
  <si>
    <t>1111 W 35th St # 801,Chicago,IL 60609,USA</t>
  </si>
  <si>
    <t>2435 E DEVON AVE</t>
  </si>
  <si>
    <t>1253 Naperville Dr</t>
  </si>
  <si>
    <t>1253 Naperville Dr,Romeoville,IL 60446,USA</t>
  </si>
  <si>
    <t>2580 Prospect Ct,Aurora,IL 60502,USA</t>
  </si>
  <si>
    <t>1298 Barclay Blvd,Buffalo Grove,IL 60089,USA</t>
  </si>
  <si>
    <t>2606 S Halsted St Ste 1</t>
  </si>
  <si>
    <t>2760 BEVERLY DR UNIT 3","UNIT 3</t>
  </si>
  <si>
    <t>360 Veterans Pkwy STE 110 Illinois - Bolingbrook</t>
  </si>
  <si>
    <t>1400 N Mittel Blvd</t>
  </si>
  <si>
    <t>4050 ROCK CREEK BLVD</t>
  </si>
  <si>
    <t>1515 Louis Ave","Elk Grove Village</t>
  </si>
  <si>
    <t>460 Gibraltar Dr,Bolingbrook,IL 60440,USA</t>
  </si>
  <si>
    <t>1560 Howard St,Elk Grove Village,IL 60007,USA</t>
  </si>
  <si>
    <t>605 Bonnie Ln</t>
  </si>
  <si>
    <t>160 Southcreek Pkwy, Romeoville, IL 60446</t>
  </si>
  <si>
    <t>160 S South Creek Pkwy,Romeoville,IL 60446,USA</t>
  </si>
  <si>
    <t>802 GREENLEAF AVE</t>
  </si>
  <si>
    <t>860 SIVERT DR</t>
  </si>
  <si>
    <t>900 CARLOW DR","STE B</t>
  </si>
  <si>
    <t>1910 E Devon Ave,Elk Grove Village,IL 60007,USA</t>
  </si>
  <si>
    <t>900 Knell St Unit C,Montgomery,IL 60538,USA</t>
  </si>
  <si>
    <t>1965 W Pershing Rd</t>
  </si>
  <si>
    <t>1965 W Pershing Rd,Chicago,IL 60609,USA</t>
  </si>
  <si>
    <t>9020 Murphy road dock 19</t>
  </si>
  <si>
    <t>2145 Internationale Pkwy Suite 800, Woodridge,Illinois,60517</t>
  </si>
  <si>
    <t>95 W 61st</t>
  </si>
  <si>
    <t>2375 Pratt Blvd,Elk Grove Village,IL 60007,USA</t>
  </si>
  <si>
    <t>2375 Pratt Blvd Unit B,Elk Grove Village,IL 60007,USA</t>
  </si>
  <si>
    <t>周末不开门</t>
  </si>
  <si>
    <t>24119 W RIVERWALK CT","UNIT 101</t>
  </si>
  <si>
    <t>去了没cbt</t>
  </si>
  <si>
    <t>2600 W 35TH ST</t>
  </si>
  <si>
    <t>2701 S Western Ave,Chicago,IL 60608,USA</t>
  </si>
  <si>
    <t>2701 S Western Ave # 1 Unit A,Chicago,IL 60608,USA</t>
  </si>
  <si>
    <t>2727 W Diehl Rd,Naperville,IL 60563,USA</t>
  </si>
  <si>
    <t>2801 S Western Ave,Chicago,IL 60608,USA</t>
  </si>
  <si>
    <t>2901 W 36th Pl,Chicago,IL 60632,USA</t>
  </si>
  <si>
    <t>320 OVERLAND DR,North Aurora, Kane,IL</t>
  </si>
  <si>
    <t>5610 W Bloomingdale Ave</t>
  </si>
  <si>
    <t>4101 W 42nd Pl, Chicago, IL 60632,USA</t>
  </si>
  <si>
    <t>4101 W 42nd Pl # 11,Chicago,IL 60632,USA</t>
  </si>
  <si>
    <t>4275 Ferry Rd, Aurora, IL 60502, USA</t>
  </si>
  <si>
    <t>500 Windy Point Dr,Glendale Heights,IL 60139,USA</t>
  </si>
  <si>
    <t>5248 S Cicero Ave,Chicago,IL 60638,USA</t>
  </si>
  <si>
    <t>5248 S Cicero Ave, Chicago, IL 60638, USA</t>
  </si>
  <si>
    <t>7000 W 60th St,Chicago,IL 60638,USA</t>
  </si>
  <si>
    <t>880 ENTERPRISE ST, STE B</t>
  </si>
  <si>
    <t>880 Enterprise St Ste B,Aurora,IL 60504,USA</t>
  </si>
  <si>
    <t>2435 E Devon Ave,Elk Grove Village,IL 60007,USA</t>
  </si>
  <si>
    <t xml:space="preserve">休息但没去 </t>
  </si>
  <si>
    <t>去了但没货</t>
  </si>
  <si>
    <t>1111 #103</t>
  </si>
  <si>
    <t>今日地址</t>
  </si>
  <si>
    <t>地址已建联但无货</t>
  </si>
  <si>
    <t>1111 #1102 = 3348</t>
  </si>
  <si>
    <t>1000 Bilter Rd, Aurora, IL, 60502</t>
  </si>
  <si>
    <t>1100 Chase Ave, Elk Grove Village, IL, 60007</t>
  </si>
  <si>
    <t>1103 S Westwood Ave, Addison, IL, 60101</t>
  </si>
  <si>
    <t>1253 Naperville Dr, Romeoville, IL, 60446</t>
  </si>
  <si>
    <t>1298 Barclay Blvd, Buffalo Grove, IL, 60089</t>
  </si>
  <si>
    <t>1400 N Mittel Blvd, Wood Dale, IL, 60191</t>
  </si>
  <si>
    <t>1560 Howard St, Elk Grove Village, IL, 60007</t>
  </si>
  <si>
    <t>160 S Creek Pkwy, Romeoville, IL, 60446</t>
  </si>
  <si>
    <t>1910 E Devon Ave, Elk Grove Village, IL, 60007</t>
  </si>
  <si>
    <t>1965 W Pershing Rd, Chicago, IL, 60609</t>
  </si>
  <si>
    <t>2580 Prospect Ct, Aurora, IL, 60502</t>
  </si>
  <si>
    <t>2600 W 35th St, Chicago, IL, 60632</t>
  </si>
  <si>
    <t>2701 S Western Ave, Chicago, IL, 60608</t>
  </si>
  <si>
    <t>2801 S Western Ave, Chicago, IL, 60608</t>
  </si>
  <si>
    <t>2901 W 36th Pl, Chicago, IL, 60632</t>
  </si>
  <si>
    <t>360 Veterans Pkwy, Bolingbrook, IL, 60440</t>
  </si>
  <si>
    <t>4050 Rock Creek Blvd, Joliet, IL, 60431</t>
  </si>
  <si>
    <t>4101 W 42nd Pl, Chicago, IL, 60632</t>
  </si>
  <si>
    <t>4275 Ferry Rd, Aurora, IL, 60502</t>
  </si>
  <si>
    <t>460 Gibraltar Dr, Bolingbrook, IL, 60440</t>
  </si>
  <si>
    <t>500 Windy Point Dr, Glendale Heights, IL, 60139</t>
  </si>
  <si>
    <t>5248 S Cicero Ave, Chicago, IL, 60638</t>
  </si>
  <si>
    <t>605 Bonnie Ln, Elk Grove Village, IL, 60007</t>
  </si>
  <si>
    <t>7000 W 60th St, Chicago, IL, 60638</t>
  </si>
  <si>
    <t>880 Enterprise St, Aurora, IL, 60504</t>
  </si>
  <si>
    <t>900 Carlow Dr, Bolingbrook, IL, 60490</t>
  </si>
  <si>
    <t>900 Knell St, Montgomery, IL, 60538</t>
  </si>
  <si>
    <t>95 W 61st St, Westmont, IL, 60559</t>
  </si>
  <si>
    <t>今日cbt失败地址</t>
  </si>
  <si>
    <t>1475 E Thorndale Ave, Itasca, IL, 60143</t>
  </si>
  <si>
    <t>2074 George St, Melrose Park, IL, 60160</t>
  </si>
  <si>
    <t>3348 E. 122nd Street, Chicago, IL 60617</t>
  </si>
  <si>
    <t>455 W 38TH ST</t>
  </si>
  <si>
    <t>778 BURR OAK DR</t>
  </si>
  <si>
    <t>无CBT/今日海外仓休息地址: 1000, 1045, 1065, 1100, 1111 #101, #636, #801, 1103, 1253, 1298, 1325, 1375, 1475, 1560, 16317, 179, 1910, 1965, 2074, 2145, 2312, 2375, 24119, 2580, 2600, 2606, 2701, 2760, 2801, 2901, 320, 3348, 360, 4050, 4101, 455, 500, 5248, 5610, 605, 7000, 778, 802, 860, 880, 900c, 9020, 95</t>
  </si>
  <si>
    <t>1045 W Crossroads Pkwy, Romeoville, IL, 60446</t>
  </si>
  <si>
    <t>1515 Louis Ave, Elk Grove Village, IL, 60007</t>
  </si>
  <si>
    <t>2312 Touhy Ave, Elk Grove Village, IL, 60007</t>
  </si>
  <si>
    <t>2375 Pratt Blvd, Elk Grove Village, IL, 60007</t>
  </si>
  <si>
    <t>24119 W Riverwalk Ct, Plainfield, IL, 60544</t>
  </si>
  <si>
    <t>2435 E Devon Ave, Elk Grove Village, IL, 60007</t>
  </si>
  <si>
    <t>2727 W Diehl Rd, Naperville, IL, 60563</t>
  </si>
  <si>
    <t>今日cbt失败地址, 1065, 801, 1298, 1325, 1375, 1475, 16317, 179, 2145, 2606, 2760, 320, 3348, 455, 5610</t>
  </si>
  <si>
    <t>1065 N Thorndale Ave, Bensenville, IL, 60106</t>
  </si>
  <si>
    <t>1111 W 35th St Unit 1102,Chicago,IL 60609,USA</t>
  </si>
  <si>
    <t>1111 W 35th St, Chicago, IL, 60609</t>
  </si>
  <si>
    <t>2041 W Carroll Ave, Chicago, IL, 60612</t>
  </si>
  <si>
    <t>2760 Beverly Dr, Aurora, IL, 60502</t>
  </si>
  <si>
    <t>631 Frontier Way, Bensenville, IL, 60106</t>
  </si>
  <si>
    <t>778 Burr Oak Dr, Westmont, IL, 60559</t>
  </si>
  <si>
    <t>802 Greenleaf Ave, Elk Grove Village, IL, 60007</t>
  </si>
  <si>
    <t>805 Mark St,Elk Grove Village,IL 60007,USA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</si>
</sst>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"/>
    </font>
    <font>
      <sz val="12"/>
      <color rgb="FF606266"/>
      <name val="PingFang SC"/>
      <family val="2"/>
      <charset val="134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F64"/>
  <sheetViews>
    <sheetView tabSelected="1" topLeftCell="R36" zoomScaleNormal="80" workbookViewId="0">
      <selection activeCell="T55" sqref="T55"/>
    </sheetView>
  </sheetViews>
  <sheetFormatPr baseColWidth="10" defaultColWidth="9.1640625" defaultRowHeight="15"/>
  <cols>
    <col min="15" max="15" width="26.5" customWidth="1"/>
    <col min="16" max="17" width="10" bestFit="1" customWidth="1"/>
    <col min="18" max="20" width="64.1640625" style="1" customWidth="1"/>
    <col min="23" max="23" width="16" customWidth="1"/>
    <col min="29" max="29" width="14.33203125" customWidth="1"/>
  </cols>
  <sheetData>
    <row r="1" spans="6:32" ht="16">
      <c r="O1" s="8" t="s">
        <v>70</v>
      </c>
      <c r="Q1" s="10"/>
      <c r="R1" s="2" t="s">
        <v>0</v>
      </c>
      <c r="S1" s="9" t="s">
        <v>101</v>
      </c>
      <c r="T1" s="9"/>
      <c r="W1" s="3" t="s">
        <v>1</v>
      </c>
      <c r="AE1" t="str">
        <f>LEFT(AF1,FIND(" ",AF1)-1)</f>
        <v>1045</v>
      </c>
      <c r="AF1" s="4" t="s">
        <v>2</v>
      </c>
    </row>
    <row r="2" spans="6:32" ht="16">
      <c r="K2" s="8"/>
      <c r="O2" t="s">
        <v>73</v>
      </c>
      <c r="Q2" s="10" t="str">
        <f t="shared" ref="Q2:Q33" si="0">LEFT(R2, FIND(" ", R2) - 1)</f>
        <v>1000</v>
      </c>
      <c r="R2" s="5" t="s">
        <v>3</v>
      </c>
      <c r="S2" s="8" t="str">
        <f t="shared" ref="S2:S7" si="1">IF(COUNTIF($O:$O,Q2&amp;"*")=0,Q2,"")</f>
        <v/>
      </c>
      <c r="T2" s="8" t="str">
        <f>_xlfn.TEXTJOIN(", ", TRUE, S1:S58)</f>
        <v>今日cbt失败地址, 801, 1325, 1375, 1475, 16317, 179, 2145, 2600, 2606, 320, 3348, 455, 5610, 860, 9020</v>
      </c>
      <c r="V2" t="str">
        <f>LEFT(W2,FIND(" ",W2)-1)</f>
        <v>1000</v>
      </c>
      <c r="W2" t="s">
        <v>4</v>
      </c>
      <c r="AE2" t="str">
        <f t="shared" ref="AE2:AE23" si="2">LEFT(AF2,FIND(" ",AF2)-1)</f>
        <v>1065</v>
      </c>
      <c r="AF2" s="4" t="s">
        <v>5</v>
      </c>
    </row>
    <row r="3" spans="6:32" ht="19">
      <c r="F3" s="11"/>
      <c r="O3" t="s">
        <v>108</v>
      </c>
      <c r="Q3" s="10" t="str">
        <f t="shared" si="0"/>
        <v>1045</v>
      </c>
      <c r="R3" s="5" t="s">
        <v>2</v>
      </c>
      <c r="S3" s="8" t="str">
        <f t="shared" si="1"/>
        <v/>
      </c>
      <c r="T3" s="8"/>
      <c r="AE3" t="str">
        <f t="shared" si="2"/>
        <v>1100</v>
      </c>
      <c r="AF3" s="4" t="s">
        <v>6</v>
      </c>
    </row>
    <row r="4" spans="6:32" ht="19">
      <c r="F4" s="11"/>
      <c r="O4" t="s">
        <v>116</v>
      </c>
      <c r="Q4" s="10" t="str">
        <f t="shared" si="0"/>
        <v>1065</v>
      </c>
      <c r="R4" s="5" t="s">
        <v>5</v>
      </c>
      <c r="S4" s="8" t="str">
        <f t="shared" si="1"/>
        <v/>
      </c>
      <c r="T4" s="8"/>
      <c r="AE4" t="str">
        <f t="shared" si="2"/>
        <v>1111</v>
      </c>
      <c r="AF4" s="4" t="s">
        <v>7</v>
      </c>
    </row>
    <row r="5" spans="6:32" ht="19">
      <c r="F5" s="11"/>
      <c r="O5" t="s">
        <v>74</v>
      </c>
      <c r="Q5" s="10" t="str">
        <f t="shared" si="0"/>
        <v>1100</v>
      </c>
      <c r="R5" s="5" t="s">
        <v>6</v>
      </c>
      <c r="S5" s="8" t="str">
        <f t="shared" si="1"/>
        <v/>
      </c>
      <c r="T5" s="8" t="s">
        <v>115</v>
      </c>
      <c r="AE5" t="str">
        <f t="shared" si="2"/>
        <v>1325</v>
      </c>
      <c r="AF5" s="4" t="s">
        <v>8</v>
      </c>
    </row>
    <row r="6" spans="6:32" ht="19">
      <c r="F6" s="11"/>
      <c r="O6" t="s">
        <v>75</v>
      </c>
      <c r="Q6" s="10" t="str">
        <f t="shared" si="0"/>
        <v>1103</v>
      </c>
      <c r="R6" s="5" t="s">
        <v>9</v>
      </c>
      <c r="S6" s="8" t="str">
        <f t="shared" si="1"/>
        <v/>
      </c>
      <c r="T6" s="8"/>
      <c r="V6" t="str">
        <f>LEFT(W6,FIND(" ",W6)-1)</f>
        <v>1103</v>
      </c>
      <c r="W6" t="s">
        <v>9</v>
      </c>
      <c r="AE6" t="str">
        <f t="shared" si="2"/>
        <v>1375</v>
      </c>
      <c r="AF6" s="4" t="s">
        <v>10</v>
      </c>
    </row>
    <row r="7" spans="6:32" ht="19">
      <c r="F7" s="11"/>
      <c r="O7" t="s">
        <v>7</v>
      </c>
      <c r="Q7" s="10" t="str">
        <f t="shared" si="0"/>
        <v>1111</v>
      </c>
      <c r="R7" s="5" t="s">
        <v>11</v>
      </c>
      <c r="S7" s="8" t="str">
        <f t="shared" si="1"/>
        <v/>
      </c>
      <c r="T7" s="8"/>
      <c r="V7" t="str">
        <f>LEFT(W7,FIND(" ",W7)-1)</f>
        <v>1111</v>
      </c>
      <c r="W7" t="s">
        <v>12</v>
      </c>
      <c r="AE7" t="str">
        <f t="shared" si="2"/>
        <v>16317</v>
      </c>
      <c r="AF7" s="4" t="s">
        <v>13</v>
      </c>
    </row>
    <row r="8" spans="6:32" ht="19">
      <c r="F8" s="11"/>
      <c r="O8" t="s">
        <v>15</v>
      </c>
      <c r="Q8" s="10" t="str">
        <f t="shared" si="0"/>
        <v>1111</v>
      </c>
      <c r="R8" s="5" t="s">
        <v>7</v>
      </c>
      <c r="S8" s="8"/>
      <c r="T8" s="8"/>
      <c r="AE8" t="str">
        <f t="shared" si="2"/>
        <v>179</v>
      </c>
      <c r="AF8" s="4" t="s">
        <v>14</v>
      </c>
    </row>
    <row r="9" spans="6:32" ht="19">
      <c r="F9" s="11"/>
      <c r="M9" s="13"/>
      <c r="O9" t="s">
        <v>12</v>
      </c>
      <c r="Q9" s="10" t="str">
        <f t="shared" si="0"/>
        <v>1111</v>
      </c>
      <c r="R9" s="5" t="s">
        <v>15</v>
      </c>
      <c r="S9" s="8"/>
      <c r="T9" s="8"/>
      <c r="AE9" t="str">
        <f t="shared" si="2"/>
        <v>2312</v>
      </c>
      <c r="AF9" s="4" t="s">
        <v>16</v>
      </c>
    </row>
    <row r="10" spans="6:32" ht="19">
      <c r="F10" s="11"/>
      <c r="O10" s="14" t="s">
        <v>117</v>
      </c>
      <c r="Q10" s="10" t="str">
        <f t="shared" si="0"/>
        <v>1111</v>
      </c>
      <c r="R10" s="5" t="s">
        <v>17</v>
      </c>
      <c r="S10" s="8">
        <v>801</v>
      </c>
      <c r="T10" s="8"/>
      <c r="V10" t="str">
        <f>LEFT(W10,FIND(" ",W10)-1)</f>
        <v>1111</v>
      </c>
      <c r="W10" t="s">
        <v>17</v>
      </c>
      <c r="AE10" t="str">
        <f t="shared" si="2"/>
        <v>2435</v>
      </c>
      <c r="AF10" s="4" t="s">
        <v>18</v>
      </c>
    </row>
    <row r="11" spans="6:32" ht="19">
      <c r="F11" s="11"/>
      <c r="O11" t="s">
        <v>118</v>
      </c>
      <c r="Q11" s="10" t="str">
        <f t="shared" si="0"/>
        <v>1253</v>
      </c>
      <c r="R11" s="5" t="s">
        <v>19</v>
      </c>
      <c r="S11" s="8" t="str">
        <f t="shared" ref="S11:S58" si="3">IF(COUNTIF($O:$O,Q11&amp;"*")=0,Q11,"")</f>
        <v/>
      </c>
      <c r="T11" s="8"/>
      <c r="V11" t="str">
        <f>LEFT(W11,FIND(" ",W11)-1)</f>
        <v>1253</v>
      </c>
      <c r="W11" t="s">
        <v>20</v>
      </c>
      <c r="AE11" t="str">
        <f t="shared" si="2"/>
        <v>2580</v>
      </c>
      <c r="AF11" s="4" t="s">
        <v>21</v>
      </c>
    </row>
    <row r="12" spans="6:32" ht="19">
      <c r="F12" s="11"/>
      <c r="O12" t="s">
        <v>76</v>
      </c>
      <c r="Q12" s="10" t="str">
        <f t="shared" si="0"/>
        <v>1298</v>
      </c>
      <c r="R12" s="5" t="s">
        <v>22</v>
      </c>
      <c r="S12" s="8" t="str">
        <f t="shared" si="3"/>
        <v/>
      </c>
      <c r="T12" s="8"/>
      <c r="V12" t="str">
        <f>LEFT(W12,FIND(" ",W12)-1)</f>
        <v>1298</v>
      </c>
      <c r="W12" t="s">
        <v>22</v>
      </c>
      <c r="AE12" t="str">
        <f t="shared" si="2"/>
        <v>2606</v>
      </c>
      <c r="AF12" s="4" t="s">
        <v>23</v>
      </c>
    </row>
    <row r="13" spans="6:32" ht="19">
      <c r="F13" s="11"/>
      <c r="O13" t="s">
        <v>77</v>
      </c>
      <c r="Q13" s="10" t="str">
        <f t="shared" si="0"/>
        <v>1325</v>
      </c>
      <c r="R13" s="5" t="s">
        <v>8</v>
      </c>
      <c r="S13" s="8" t="str">
        <f t="shared" si="3"/>
        <v>1325</v>
      </c>
      <c r="T13" s="8"/>
      <c r="AE13" t="str">
        <f t="shared" si="2"/>
        <v>2760</v>
      </c>
      <c r="AF13" s="4" t="s">
        <v>24</v>
      </c>
    </row>
    <row r="14" spans="6:32" ht="19">
      <c r="F14" s="11"/>
      <c r="O14" t="s">
        <v>78</v>
      </c>
      <c r="Q14" s="10" t="str">
        <f t="shared" si="0"/>
        <v>1375</v>
      </c>
      <c r="R14" s="5" t="s">
        <v>10</v>
      </c>
      <c r="S14" s="8" t="str">
        <f t="shared" si="3"/>
        <v>1375</v>
      </c>
      <c r="T14" s="8"/>
      <c r="AE14" t="str">
        <f t="shared" si="2"/>
        <v>360</v>
      </c>
      <c r="AF14" s="4" t="s">
        <v>25</v>
      </c>
    </row>
    <row r="15" spans="6:32" ht="19">
      <c r="F15" s="11"/>
      <c r="O15" t="s">
        <v>109</v>
      </c>
      <c r="Q15" s="10" t="str">
        <f t="shared" si="0"/>
        <v>1400</v>
      </c>
      <c r="R15" s="5" t="s">
        <v>26</v>
      </c>
      <c r="S15" s="8" t="str">
        <f t="shared" si="3"/>
        <v/>
      </c>
      <c r="T15" s="8"/>
      <c r="AE15" t="str">
        <f t="shared" si="2"/>
        <v>4050</v>
      </c>
      <c r="AF15" s="4" t="s">
        <v>27</v>
      </c>
    </row>
    <row r="16" spans="6:32" ht="19">
      <c r="F16" s="11"/>
      <c r="O16" t="s">
        <v>79</v>
      </c>
      <c r="Q16" s="10" t="str">
        <f t="shared" si="0"/>
        <v>1475</v>
      </c>
      <c r="R16" s="5" t="s">
        <v>102</v>
      </c>
      <c r="S16" s="8" t="str">
        <f t="shared" si="3"/>
        <v>1475</v>
      </c>
      <c r="T16" s="8"/>
      <c r="AE16" t="str">
        <f t="shared" si="2"/>
        <v>460</v>
      </c>
      <c r="AF16" s="4" t="s">
        <v>29</v>
      </c>
    </row>
    <row r="17" spans="6:32" ht="19">
      <c r="F17" s="11"/>
      <c r="O17" t="s">
        <v>80</v>
      </c>
      <c r="Q17" s="10" t="str">
        <f t="shared" si="0"/>
        <v>1515</v>
      </c>
      <c r="R17" s="5" t="s">
        <v>28</v>
      </c>
      <c r="S17" s="8" t="str">
        <f t="shared" si="3"/>
        <v/>
      </c>
      <c r="T17" s="8"/>
      <c r="V17" t="str">
        <f t="shared" ref="V17:V22" si="4">LEFT(W17,FIND(" ",W17)-1)</f>
        <v>1560</v>
      </c>
      <c r="W17" t="s">
        <v>30</v>
      </c>
      <c r="AE17" t="str">
        <f t="shared" si="2"/>
        <v>605</v>
      </c>
      <c r="AF17" s="4" t="s">
        <v>31</v>
      </c>
    </row>
    <row r="18" spans="6:32" ht="19">
      <c r="F18" s="11"/>
      <c r="O18" t="s">
        <v>81</v>
      </c>
      <c r="Q18" s="10" t="str">
        <f t="shared" si="0"/>
        <v>1560</v>
      </c>
      <c r="R18" s="5" t="s">
        <v>30</v>
      </c>
      <c r="S18" s="8" t="str">
        <f t="shared" si="3"/>
        <v/>
      </c>
      <c r="T18" s="8"/>
      <c r="V18" t="str">
        <f t="shared" si="4"/>
        <v>160</v>
      </c>
      <c r="W18" t="s">
        <v>33</v>
      </c>
      <c r="AE18" t="str">
        <f t="shared" si="2"/>
        <v>802</v>
      </c>
      <c r="AF18" s="4" t="s">
        <v>34</v>
      </c>
    </row>
    <row r="19" spans="6:32" ht="16">
      <c r="O19" t="s">
        <v>82</v>
      </c>
      <c r="Q19" s="10" t="str">
        <f t="shared" si="0"/>
        <v>160</v>
      </c>
      <c r="R19" s="5" t="s">
        <v>32</v>
      </c>
      <c r="S19" s="8" t="str">
        <f t="shared" si="3"/>
        <v/>
      </c>
      <c r="T19" s="8"/>
      <c r="AE19" t="str">
        <f t="shared" si="2"/>
        <v>860</v>
      </c>
      <c r="AF19" s="4" t="s">
        <v>35</v>
      </c>
    </row>
    <row r="20" spans="6:32" ht="16">
      <c r="O20" t="s">
        <v>119</v>
      </c>
      <c r="Q20" s="10" t="str">
        <f t="shared" si="0"/>
        <v>16317</v>
      </c>
      <c r="R20" s="5" t="s">
        <v>13</v>
      </c>
      <c r="S20" s="8" t="str">
        <f t="shared" si="3"/>
        <v>16317</v>
      </c>
      <c r="T20" s="8"/>
      <c r="AE20" t="str">
        <f t="shared" si="2"/>
        <v>900</v>
      </c>
      <c r="AF20" s="4" t="s">
        <v>36</v>
      </c>
    </row>
    <row r="21" spans="6:32" ht="16">
      <c r="O21" t="s">
        <v>103</v>
      </c>
      <c r="Q21" s="10" t="str">
        <f t="shared" si="0"/>
        <v>179</v>
      </c>
      <c r="R21" s="5" t="s">
        <v>14</v>
      </c>
      <c r="S21" s="8" t="str">
        <f t="shared" si="3"/>
        <v>179</v>
      </c>
      <c r="T21" s="8"/>
      <c r="AE21" t="str">
        <f t="shared" si="2"/>
        <v>900</v>
      </c>
      <c r="AF21" s="4" t="s">
        <v>38</v>
      </c>
    </row>
    <row r="22" spans="6:32" ht="16">
      <c r="O22" t="s">
        <v>110</v>
      </c>
      <c r="Q22" s="10" t="str">
        <f t="shared" si="0"/>
        <v>1910</v>
      </c>
      <c r="R22" s="5" t="s">
        <v>37</v>
      </c>
      <c r="S22" s="8" t="str">
        <f t="shared" si="3"/>
        <v/>
      </c>
      <c r="T22" s="8"/>
      <c r="V22" t="str">
        <f t="shared" si="4"/>
        <v>1965</v>
      </c>
      <c r="W22" t="s">
        <v>40</v>
      </c>
      <c r="AE22" t="str">
        <f t="shared" si="2"/>
        <v>9020</v>
      </c>
      <c r="AF22" s="4" t="s">
        <v>41</v>
      </c>
    </row>
    <row r="23" spans="6:32" ht="16">
      <c r="O23" t="s">
        <v>111</v>
      </c>
      <c r="Q23" s="10" t="str">
        <f t="shared" si="0"/>
        <v>1965</v>
      </c>
      <c r="R23" s="5" t="s">
        <v>39</v>
      </c>
      <c r="S23" s="8" t="str">
        <f t="shared" si="3"/>
        <v/>
      </c>
      <c r="T23" s="8"/>
      <c r="AE23" t="str">
        <f t="shared" si="2"/>
        <v>95</v>
      </c>
      <c r="AF23" s="4" t="s">
        <v>43</v>
      </c>
    </row>
    <row r="24" spans="6:32" ht="16">
      <c r="O24" t="s">
        <v>112</v>
      </c>
      <c r="Q24" s="10" t="str">
        <f t="shared" si="0"/>
        <v>2074</v>
      </c>
      <c r="R24" s="5" t="s">
        <v>103</v>
      </c>
      <c r="S24" s="8" t="str">
        <f t="shared" si="3"/>
        <v/>
      </c>
      <c r="T24" s="8"/>
    </row>
    <row r="25" spans="6:32" ht="16">
      <c r="O25" t="s">
        <v>113</v>
      </c>
      <c r="Q25" s="10" t="str">
        <f t="shared" si="0"/>
        <v>2145</v>
      </c>
      <c r="R25" s="5" t="s">
        <v>42</v>
      </c>
      <c r="S25" s="8" t="str">
        <f t="shared" si="3"/>
        <v>2145</v>
      </c>
      <c r="T25" s="8"/>
      <c r="V25" t="str">
        <f>LEFT(W25,FIND(" ",W25)-1)</f>
        <v>2375</v>
      </c>
      <c r="W25" t="s">
        <v>45</v>
      </c>
      <c r="AC25" t="s">
        <v>46</v>
      </c>
      <c r="AD25">
        <v>23</v>
      </c>
    </row>
    <row r="26" spans="6:32" ht="16">
      <c r="I26" s="8"/>
      <c r="N26" s="8"/>
      <c r="O26" t="s">
        <v>83</v>
      </c>
      <c r="Q26" s="10" t="str">
        <f t="shared" si="0"/>
        <v>2312</v>
      </c>
      <c r="R26" s="5" t="s">
        <v>16</v>
      </c>
      <c r="S26" s="8" t="str">
        <f t="shared" si="3"/>
        <v/>
      </c>
      <c r="T26" s="8"/>
    </row>
    <row r="27" spans="6:32" ht="16">
      <c r="O27" t="s">
        <v>85</v>
      </c>
      <c r="Q27" s="10" t="str">
        <f t="shared" si="0"/>
        <v>2375</v>
      </c>
      <c r="R27" s="5" t="s">
        <v>44</v>
      </c>
      <c r="S27" s="8" t="str">
        <f t="shared" si="3"/>
        <v/>
      </c>
      <c r="T27" s="8"/>
      <c r="AC27" t="s">
        <v>48</v>
      </c>
      <c r="AD27">
        <v>9</v>
      </c>
    </row>
    <row r="28" spans="6:32" ht="16">
      <c r="N28" s="8"/>
      <c r="O28" t="s">
        <v>114</v>
      </c>
      <c r="Q28" s="10" t="str">
        <f t="shared" si="0"/>
        <v>24119</v>
      </c>
      <c r="R28" s="5" t="s">
        <v>47</v>
      </c>
      <c r="S28" s="8" t="str">
        <f t="shared" si="3"/>
        <v/>
      </c>
      <c r="T28" s="8"/>
    </row>
    <row r="29" spans="6:32" ht="16">
      <c r="O29" t="s">
        <v>120</v>
      </c>
      <c r="Q29" s="10" t="str">
        <f t="shared" si="0"/>
        <v>2435</v>
      </c>
      <c r="R29" s="5" t="s">
        <v>18</v>
      </c>
      <c r="S29" s="8" t="str">
        <f t="shared" si="3"/>
        <v/>
      </c>
      <c r="T29" s="8"/>
      <c r="AE29" t="str">
        <f>LEFT(AF29,FIND(" ",AF29)-1)</f>
        <v>1111</v>
      </c>
      <c r="AF29" s="6" t="s">
        <v>15</v>
      </c>
    </row>
    <row r="30" spans="6:32" ht="16">
      <c r="O30" t="s">
        <v>86</v>
      </c>
      <c r="Q30" s="10" t="str">
        <f t="shared" si="0"/>
        <v>2580</v>
      </c>
      <c r="R30" s="5" t="s">
        <v>21</v>
      </c>
      <c r="S30" s="8" t="str">
        <f t="shared" si="3"/>
        <v/>
      </c>
      <c r="T30" s="8"/>
      <c r="AE30" t="str">
        <f t="shared" ref="AE30:AE37" si="5">LEFT(AF30,FIND(" ",AF30)-1)</f>
        <v>1400</v>
      </c>
      <c r="AF30" s="6" t="s">
        <v>26</v>
      </c>
    </row>
    <row r="31" spans="6:32" ht="16">
      <c r="O31" t="s">
        <v>87</v>
      </c>
      <c r="Q31" s="10" t="str">
        <f t="shared" si="0"/>
        <v>2600</v>
      </c>
      <c r="R31" s="5" t="s">
        <v>49</v>
      </c>
      <c r="S31" s="8" t="str">
        <f t="shared" si="3"/>
        <v>2600</v>
      </c>
      <c r="T31" s="8"/>
      <c r="V31" t="str">
        <f t="shared" ref="V31:V35" si="6">LEFT(W31,FIND(" ",W31)-1)</f>
        <v>2701</v>
      </c>
      <c r="W31" t="s">
        <v>51</v>
      </c>
      <c r="AE31" t="str">
        <f t="shared" si="5"/>
        <v>1515</v>
      </c>
      <c r="AF31" s="6" t="s">
        <v>28</v>
      </c>
    </row>
    <row r="32" spans="6:32" ht="16">
      <c r="O32" t="s">
        <v>88</v>
      </c>
      <c r="Q32" s="10" t="str">
        <f t="shared" si="0"/>
        <v>2606</v>
      </c>
      <c r="R32" s="5" t="s">
        <v>23</v>
      </c>
      <c r="S32" s="8" t="str">
        <f t="shared" si="3"/>
        <v>2606</v>
      </c>
      <c r="T32" s="8"/>
      <c r="V32" t="str">
        <f t="shared" si="6"/>
        <v>2727</v>
      </c>
      <c r="W32" t="s">
        <v>52</v>
      </c>
      <c r="AE32" t="str">
        <f t="shared" si="5"/>
        <v>1910</v>
      </c>
      <c r="AF32" s="6" t="s">
        <v>37</v>
      </c>
    </row>
    <row r="33" spans="15:32" ht="16">
      <c r="O33" t="s">
        <v>89</v>
      </c>
      <c r="Q33" s="10" t="str">
        <f t="shared" si="0"/>
        <v>2701</v>
      </c>
      <c r="R33" s="5" t="s">
        <v>50</v>
      </c>
      <c r="S33" s="8" t="str">
        <f t="shared" si="3"/>
        <v/>
      </c>
      <c r="T33" s="8"/>
      <c r="AE33" t="str">
        <f t="shared" si="5"/>
        <v>2145</v>
      </c>
      <c r="AF33" s="6" t="s">
        <v>42</v>
      </c>
    </row>
    <row r="34" spans="15:32" ht="16">
      <c r="O34" t="s">
        <v>90</v>
      </c>
      <c r="P34" s="10"/>
      <c r="Q34" s="10" t="str">
        <f t="shared" ref="Q34:Q58" si="7">LEFT(R34, FIND(" ", R34) - 1)</f>
        <v>2727</v>
      </c>
      <c r="R34" s="5" t="s">
        <v>52</v>
      </c>
      <c r="S34" s="8" t="str">
        <f t="shared" si="3"/>
        <v/>
      </c>
      <c r="T34" s="8"/>
      <c r="V34" t="str">
        <f t="shared" si="6"/>
        <v>2801</v>
      </c>
      <c r="W34" t="s">
        <v>53</v>
      </c>
      <c r="AE34" t="str">
        <f t="shared" si="5"/>
        <v>24119</v>
      </c>
      <c r="AF34" s="6" t="s">
        <v>47</v>
      </c>
    </row>
    <row r="35" spans="15:32" ht="16">
      <c r="O35" t="s">
        <v>91</v>
      </c>
      <c r="P35" s="10"/>
      <c r="Q35" s="10" t="str">
        <f t="shared" si="7"/>
        <v>2760</v>
      </c>
      <c r="R35" s="5" t="s">
        <v>24</v>
      </c>
      <c r="S35" s="8" t="str">
        <f t="shared" si="3"/>
        <v/>
      </c>
      <c r="T35" s="8"/>
      <c r="V35" t="str">
        <f t="shared" si="6"/>
        <v>2901</v>
      </c>
      <c r="W35" t="s">
        <v>54</v>
      </c>
      <c r="AE35" t="str">
        <f t="shared" si="5"/>
        <v>2600</v>
      </c>
      <c r="AF35" s="6" t="s">
        <v>49</v>
      </c>
    </row>
    <row r="36" spans="15:32" ht="16">
      <c r="O36" t="s">
        <v>92</v>
      </c>
      <c r="P36" s="10"/>
      <c r="Q36" s="10" t="str">
        <f t="shared" si="7"/>
        <v>2801</v>
      </c>
      <c r="R36" s="5" t="s">
        <v>53</v>
      </c>
      <c r="S36" s="8" t="str">
        <f t="shared" si="3"/>
        <v/>
      </c>
      <c r="T36" s="8"/>
      <c r="AE36" t="str">
        <f t="shared" si="5"/>
        <v>320</v>
      </c>
      <c r="AF36" s="6" t="s">
        <v>55</v>
      </c>
    </row>
    <row r="37" spans="15:32" ht="16">
      <c r="O37" t="s">
        <v>93</v>
      </c>
      <c r="P37" s="10"/>
      <c r="Q37" s="10" t="str">
        <f t="shared" si="7"/>
        <v>2901</v>
      </c>
      <c r="R37" s="5" t="s">
        <v>54</v>
      </c>
      <c r="S37" s="8" t="str">
        <f t="shared" si="3"/>
        <v/>
      </c>
      <c r="T37" s="8"/>
      <c r="AE37" t="str">
        <f t="shared" si="5"/>
        <v>5610</v>
      </c>
      <c r="AF37" s="6" t="s">
        <v>56</v>
      </c>
    </row>
    <row r="38" spans="15:32" ht="16">
      <c r="O38" t="s">
        <v>94</v>
      </c>
      <c r="P38" s="10"/>
      <c r="Q38" s="10" t="str">
        <f t="shared" si="7"/>
        <v>320</v>
      </c>
      <c r="R38" s="5" t="s">
        <v>55</v>
      </c>
      <c r="S38" s="8" t="str">
        <f t="shared" si="3"/>
        <v>320</v>
      </c>
      <c r="T38" s="8"/>
    </row>
    <row r="39" spans="15:32" ht="16">
      <c r="O39" t="s">
        <v>95</v>
      </c>
      <c r="P39" s="10"/>
      <c r="Q39" s="10" t="str">
        <f t="shared" si="7"/>
        <v>3348</v>
      </c>
      <c r="R39" s="5" t="s">
        <v>104</v>
      </c>
      <c r="S39" s="8" t="str">
        <f t="shared" si="3"/>
        <v>3348</v>
      </c>
      <c r="T39" s="8"/>
      <c r="V39" t="str">
        <f t="shared" ref="V39:V43" si="8">LEFT(W39,FIND(" ",W39)-1)</f>
        <v>4101</v>
      </c>
      <c r="W39" t="s">
        <v>58</v>
      </c>
    </row>
    <row r="40" spans="15:32" ht="16">
      <c r="O40" s="14" t="s">
        <v>121</v>
      </c>
      <c r="P40" s="10"/>
      <c r="Q40" s="10" t="str">
        <f t="shared" si="7"/>
        <v>360</v>
      </c>
      <c r="R40" s="5" t="s">
        <v>25</v>
      </c>
      <c r="S40" s="8" t="str">
        <f t="shared" si="3"/>
        <v/>
      </c>
      <c r="T40" s="8"/>
      <c r="V40" t="str">
        <f t="shared" si="8"/>
        <v>4275</v>
      </c>
      <c r="W40" t="s">
        <v>59</v>
      </c>
    </row>
    <row r="41" spans="15:32" ht="16">
      <c r="O41" t="s">
        <v>96</v>
      </c>
      <c r="P41" s="10"/>
      <c r="Q41" s="10" t="str">
        <f t="shared" si="7"/>
        <v>4050</v>
      </c>
      <c r="R41" s="5" t="s">
        <v>27</v>
      </c>
      <c r="S41" s="8" t="str">
        <f t="shared" si="3"/>
        <v/>
      </c>
      <c r="T41" s="8"/>
    </row>
    <row r="42" spans="15:32" ht="16">
      <c r="O42" t="s">
        <v>122</v>
      </c>
      <c r="P42" s="10"/>
      <c r="Q42" s="10" t="str">
        <f t="shared" si="7"/>
        <v>4101</v>
      </c>
      <c r="R42" s="5" t="s">
        <v>57</v>
      </c>
      <c r="S42" s="8" t="str">
        <f t="shared" si="3"/>
        <v/>
      </c>
      <c r="T42" s="8"/>
      <c r="V42" t="str">
        <f>LEFT(W42,FIND(" ",W42)-1)</f>
        <v>500</v>
      </c>
      <c r="W42" t="s">
        <v>60</v>
      </c>
    </row>
    <row r="43" spans="15:32" ht="16">
      <c r="O43" t="s">
        <v>123</v>
      </c>
      <c r="P43" s="10"/>
      <c r="Q43" s="10" t="str">
        <f t="shared" si="7"/>
        <v>4275</v>
      </c>
      <c r="R43" s="5" t="s">
        <v>59</v>
      </c>
      <c r="S43" s="8" t="str">
        <f t="shared" si="3"/>
        <v/>
      </c>
      <c r="T43" s="13" t="s">
        <v>107</v>
      </c>
      <c r="V43" t="str">
        <f t="shared" si="8"/>
        <v>5248</v>
      </c>
      <c r="W43" t="s">
        <v>62</v>
      </c>
    </row>
    <row r="44" spans="15:32" ht="16">
      <c r="O44" s="14" t="s">
        <v>124</v>
      </c>
      <c r="P44" s="10"/>
      <c r="Q44" s="10" t="str">
        <f t="shared" si="7"/>
        <v>455</v>
      </c>
      <c r="R44" s="5" t="s">
        <v>105</v>
      </c>
      <c r="S44" s="8" t="str">
        <f t="shared" si="3"/>
        <v>455</v>
      </c>
      <c r="T44" s="8"/>
    </row>
    <row r="45" spans="15:32" ht="16">
      <c r="O45" t="s">
        <v>97</v>
      </c>
      <c r="P45" s="10"/>
      <c r="Q45" s="10" t="str">
        <f t="shared" si="7"/>
        <v>460</v>
      </c>
      <c r="R45" s="5" t="s">
        <v>29</v>
      </c>
      <c r="S45" s="8" t="str">
        <f t="shared" si="3"/>
        <v/>
      </c>
      <c r="T45" s="8"/>
    </row>
    <row r="46" spans="15:32" ht="16">
      <c r="O46" t="s">
        <v>98</v>
      </c>
      <c r="P46" s="10"/>
      <c r="Q46" s="10" t="str">
        <f t="shared" si="7"/>
        <v>500</v>
      </c>
      <c r="R46" s="5" t="s">
        <v>60</v>
      </c>
      <c r="S46" s="8" t="str">
        <f t="shared" si="3"/>
        <v/>
      </c>
      <c r="T46" s="8"/>
      <c r="V46" t="str">
        <f>LEFT(W46,FIND(" ",W46)-1)</f>
        <v>7000</v>
      </c>
      <c r="W46" t="s">
        <v>63</v>
      </c>
    </row>
    <row r="47" spans="15:32" ht="16">
      <c r="O47" t="s">
        <v>99</v>
      </c>
      <c r="P47" s="10"/>
      <c r="Q47" s="10" t="str">
        <f t="shared" si="7"/>
        <v>5248</v>
      </c>
      <c r="R47" s="5" t="s">
        <v>61</v>
      </c>
      <c r="S47" s="8" t="str">
        <f t="shared" si="3"/>
        <v/>
      </c>
      <c r="T47" s="8"/>
    </row>
    <row r="48" spans="15:32" ht="16">
      <c r="O48" t="s">
        <v>100</v>
      </c>
      <c r="P48" s="10"/>
      <c r="Q48" s="10" t="str">
        <f t="shared" si="7"/>
        <v>5610</v>
      </c>
      <c r="R48" s="5" t="s">
        <v>56</v>
      </c>
      <c r="S48" s="8" t="str">
        <f t="shared" si="3"/>
        <v>5610</v>
      </c>
      <c r="T48" s="8"/>
    </row>
    <row r="49" spans="16:23" ht="16">
      <c r="P49" s="10"/>
      <c r="Q49" s="10" t="str">
        <f t="shared" si="7"/>
        <v>605</v>
      </c>
      <c r="R49" s="5" t="s">
        <v>31</v>
      </c>
      <c r="S49" s="8" t="str">
        <f t="shared" si="3"/>
        <v/>
      </c>
      <c r="T49" s="8"/>
      <c r="V49" t="str">
        <f>LEFT(W49,FIND(" ",W49)-1)</f>
        <v>880</v>
      </c>
      <c r="W49" t="s">
        <v>65</v>
      </c>
    </row>
    <row r="50" spans="16:23" ht="16">
      <c r="P50" s="10"/>
      <c r="Q50" s="10" t="str">
        <f t="shared" si="7"/>
        <v>7000</v>
      </c>
      <c r="R50" s="5" t="s">
        <v>63</v>
      </c>
      <c r="S50" s="8" t="str">
        <f t="shared" si="3"/>
        <v/>
      </c>
      <c r="T50" s="8"/>
    </row>
    <row r="51" spans="16:23" ht="16">
      <c r="P51" s="10"/>
      <c r="Q51" s="10" t="str">
        <f t="shared" si="7"/>
        <v>778</v>
      </c>
      <c r="R51" s="5" t="s">
        <v>106</v>
      </c>
      <c r="S51" s="8" t="str">
        <f t="shared" si="3"/>
        <v/>
      </c>
      <c r="T51" s="8"/>
    </row>
    <row r="52" spans="16:23" ht="16">
      <c r="P52" s="10"/>
      <c r="Q52" s="10" t="str">
        <f t="shared" si="7"/>
        <v>802</v>
      </c>
      <c r="R52" s="5" t="s">
        <v>34</v>
      </c>
      <c r="S52" s="8" t="str">
        <f t="shared" si="3"/>
        <v/>
      </c>
      <c r="T52" s="8"/>
    </row>
    <row r="53" spans="16:23" ht="16">
      <c r="P53" s="10"/>
      <c r="Q53" s="10" t="str">
        <f t="shared" si="7"/>
        <v>860</v>
      </c>
      <c r="R53" s="5" t="s">
        <v>35</v>
      </c>
      <c r="S53" s="8" t="str">
        <f t="shared" si="3"/>
        <v>860</v>
      </c>
      <c r="T53" s="8"/>
    </row>
    <row r="54" spans="16:23" ht="16">
      <c r="P54" s="10"/>
      <c r="Q54" s="10" t="str">
        <f t="shared" si="7"/>
        <v>880</v>
      </c>
      <c r="R54" s="5" t="s">
        <v>64</v>
      </c>
      <c r="S54" s="8" t="str">
        <f t="shared" si="3"/>
        <v/>
      </c>
      <c r="T54" s="8"/>
    </row>
    <row r="55" spans="16:23" ht="16">
      <c r="P55" s="10"/>
      <c r="Q55" s="10" t="str">
        <f t="shared" si="7"/>
        <v>900</v>
      </c>
      <c r="R55" s="5" t="s">
        <v>36</v>
      </c>
      <c r="S55" s="8" t="str">
        <f t="shared" si="3"/>
        <v/>
      </c>
    </row>
    <row r="56" spans="16:23" ht="16">
      <c r="Q56" s="10" t="str">
        <f t="shared" si="7"/>
        <v>900</v>
      </c>
      <c r="R56" s="5" t="s">
        <v>38</v>
      </c>
      <c r="S56" s="8" t="str">
        <f t="shared" si="3"/>
        <v/>
      </c>
    </row>
    <row r="57" spans="16:23" ht="16">
      <c r="Q57" s="10" t="str">
        <f t="shared" si="7"/>
        <v>9020</v>
      </c>
      <c r="R57" s="5" t="s">
        <v>41</v>
      </c>
      <c r="S57" s="8" t="str">
        <f t="shared" si="3"/>
        <v>9020</v>
      </c>
      <c r="T57" s="7"/>
    </row>
    <row r="58" spans="16:23" ht="16">
      <c r="Q58" s="10" t="str">
        <f t="shared" si="7"/>
        <v>95</v>
      </c>
      <c r="R58" s="5" t="s">
        <v>43</v>
      </c>
      <c r="S58" s="8" t="str">
        <f t="shared" si="3"/>
        <v/>
      </c>
      <c r="T58" s="7"/>
    </row>
    <row r="59" spans="16:23">
      <c r="T59" s="7" t="s">
        <v>72</v>
      </c>
    </row>
    <row r="60" spans="16:23">
      <c r="S60" s="7"/>
      <c r="T60" s="7" t="s">
        <v>69</v>
      </c>
    </row>
    <row r="61" spans="16:23">
      <c r="S61" s="7"/>
    </row>
    <row r="62" spans="16:23">
      <c r="T62" s="7" t="s">
        <v>67</v>
      </c>
    </row>
    <row r="63" spans="16:23">
      <c r="T63" s="7" t="s">
        <v>68</v>
      </c>
    </row>
    <row r="64" spans="16:23">
      <c r="T64" s="7" t="s">
        <v>71</v>
      </c>
    </row>
  </sheetData>
  <sortState xmlns:xlrd2="http://schemas.microsoft.com/office/spreadsheetml/2017/richdata2" ref="O2:O64">
    <sortCondition ref="O20:O64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AA20-5E94-EA48-9494-27F2C59A4B86}">
  <dimension ref="C1:Y62"/>
  <sheetViews>
    <sheetView workbookViewId="0">
      <selection activeCell="G14" sqref="G14"/>
    </sheetView>
  </sheetViews>
  <sheetFormatPr baseColWidth="10" defaultRowHeight="15"/>
  <cols>
    <col min="3" max="3" width="26.5" customWidth="1"/>
    <col min="4" max="5" width="10" bestFit="1" customWidth="1"/>
    <col min="6" max="7" width="64.1640625" style="1" customWidth="1"/>
  </cols>
  <sheetData>
    <row r="1" spans="3:25" ht="16">
      <c r="C1" s="8" t="s">
        <v>70</v>
      </c>
      <c r="E1" s="10"/>
      <c r="F1" s="2" t="s">
        <v>0</v>
      </c>
      <c r="G1" s="9"/>
    </row>
    <row r="2" spans="3:25" ht="16">
      <c r="C2" s="13" t="s">
        <v>73</v>
      </c>
      <c r="E2" s="10"/>
      <c r="F2" s="5" t="s">
        <v>3</v>
      </c>
      <c r="G2" s="8" t="str">
        <f>IF(COUNTIF($C:$C,F2&amp;"*")=0,F2,"")</f>
        <v>1000 Bilter Rd Ofc,Aurora,IL 60502,USA</v>
      </c>
    </row>
    <row r="3" spans="3:25" ht="16">
      <c r="C3" s="13" t="s">
        <v>74</v>
      </c>
      <c r="E3" s="10"/>
      <c r="F3" s="4" t="s">
        <v>2</v>
      </c>
      <c r="G3" s="8" t="str">
        <f>IF(COUNTIF($C:$C,F3&amp;"*")=0,F3,"")</f>
        <v>1045 W CROSSROADS PKWY","UNIT A (DOCKS 36-49)</v>
      </c>
    </row>
    <row r="4" spans="3:25" ht="16">
      <c r="C4" s="13" t="s">
        <v>75</v>
      </c>
      <c r="E4" s="10"/>
      <c r="F4" s="4" t="s">
        <v>5</v>
      </c>
      <c r="G4" s="8" t="str">
        <f t="shared" ref="G4:G54" si="0">IF(COUNTIF($C:$C,F4&amp;"*")=0,F4,"")</f>
        <v>1065 W North Thorndale Ave","Bensenville, IL 60106</v>
      </c>
    </row>
    <row r="5" spans="3:25" ht="16">
      <c r="C5" s="13" t="s">
        <v>7</v>
      </c>
      <c r="E5" s="10"/>
      <c r="F5" s="4" t="s">
        <v>6</v>
      </c>
      <c r="G5" s="8" t="str">
        <f t="shared" si="0"/>
        <v>1100 Chase Ave unit A Elk Grove Village IL</v>
      </c>
    </row>
    <row r="6" spans="3:25" ht="16">
      <c r="C6" s="13" t="s">
        <v>12</v>
      </c>
      <c r="E6" s="10"/>
      <c r="F6" s="5" t="s">
        <v>9</v>
      </c>
      <c r="G6" s="8" t="str">
        <f t="shared" si="0"/>
        <v>1103 S Westwood Ave,Addison,IL 60101,USA</v>
      </c>
    </row>
    <row r="7" spans="3:25" ht="16">
      <c r="C7" s="13" t="s">
        <v>76</v>
      </c>
      <c r="E7" s="10"/>
      <c r="F7" s="5" t="s">
        <v>11</v>
      </c>
      <c r="G7" s="8" t="str">
        <f>IF(COUNTIF($C:$C,F7&amp;"*")=0,F7,"")</f>
        <v>1111 W 35th St # 1005,Chicago,IL 60609,USA</v>
      </c>
    </row>
    <row r="8" spans="3:25" ht="16">
      <c r="C8" s="13" t="s">
        <v>77</v>
      </c>
      <c r="E8" s="10"/>
      <c r="F8" s="4" t="s">
        <v>7</v>
      </c>
      <c r="G8" s="8" t="str">
        <f t="shared" si="0"/>
        <v/>
      </c>
    </row>
    <row r="9" spans="3:25" ht="16">
      <c r="C9" s="13" t="s">
        <v>78</v>
      </c>
      <c r="E9" s="10"/>
      <c r="F9" s="6" t="s">
        <v>15</v>
      </c>
      <c r="G9" s="8" t="str">
        <f t="shared" si="0"/>
        <v>1111 W 35th St # 636,Chicago,IL 60609,USA</v>
      </c>
    </row>
    <row r="10" spans="3:25" ht="19">
      <c r="C10" s="13" t="s">
        <v>79</v>
      </c>
      <c r="E10" s="10"/>
      <c r="F10" s="5" t="s">
        <v>17</v>
      </c>
      <c r="G10" s="8" t="str">
        <f t="shared" si="0"/>
        <v>1111 W 35th St # 801,Chicago,IL 60609,USA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3:25" ht="19">
      <c r="C11" s="13" t="s">
        <v>80</v>
      </c>
      <c r="E11" s="10"/>
      <c r="F11" s="5" t="s">
        <v>19</v>
      </c>
      <c r="G11" s="8" t="str">
        <f t="shared" si="0"/>
        <v/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3:25" ht="19">
      <c r="C12" s="13" t="s">
        <v>81</v>
      </c>
      <c r="E12" s="10"/>
      <c r="F12" s="5" t="s">
        <v>22</v>
      </c>
      <c r="G12" s="8" t="str">
        <f t="shared" si="0"/>
        <v>1298 Barclay Blvd,Buffalo Grove,IL 60089,USA</v>
      </c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1"/>
      <c r="S12" s="11"/>
      <c r="T12" s="11"/>
      <c r="U12" s="11"/>
      <c r="V12" s="11"/>
      <c r="W12" s="11"/>
      <c r="X12" s="11"/>
      <c r="Y12" s="11"/>
    </row>
    <row r="13" spans="3:25" ht="19">
      <c r="C13" s="13" t="s">
        <v>82</v>
      </c>
      <c r="E13" s="10"/>
      <c r="F13" s="4" t="s">
        <v>8</v>
      </c>
      <c r="G13" s="8" t="str">
        <f t="shared" si="0"/>
        <v>1325 remington blvd，STE B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3:25" ht="19">
      <c r="C14" s="13" t="s">
        <v>66</v>
      </c>
      <c r="E14" s="10"/>
      <c r="F14" s="4" t="s">
        <v>10</v>
      </c>
      <c r="G14" s="8" t="str">
        <f>IF(COUNTIF($C:$C,F14&amp;"*")=0,F14,"")</f>
        <v>1375 W THORNDALE AVE</v>
      </c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1"/>
      <c r="S14" s="11"/>
      <c r="T14" s="11"/>
      <c r="U14" s="11"/>
      <c r="V14" s="11"/>
      <c r="W14" s="11"/>
      <c r="X14" s="11"/>
      <c r="Y14" s="11"/>
    </row>
    <row r="15" spans="3:25" ht="19">
      <c r="C15" s="13" t="s">
        <v>83</v>
      </c>
      <c r="E15" s="10"/>
      <c r="F15" s="6" t="s">
        <v>26</v>
      </c>
      <c r="G15" s="8" t="str">
        <f t="shared" si="0"/>
        <v/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3:25" ht="19">
      <c r="C16" s="13" t="s">
        <v>84</v>
      </c>
      <c r="E16" s="10"/>
      <c r="F16" s="6" t="s">
        <v>28</v>
      </c>
      <c r="G16" s="8" t="str">
        <f t="shared" si="0"/>
        <v>1515 Louis Ave","Elk Grove Village</v>
      </c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1"/>
      <c r="S16" s="11"/>
      <c r="T16" s="11"/>
      <c r="U16" s="11"/>
      <c r="V16" s="11"/>
      <c r="W16" s="11"/>
      <c r="X16" s="11"/>
      <c r="Y16" s="11"/>
    </row>
    <row r="17" spans="3:25" ht="19">
      <c r="C17" s="13" t="s">
        <v>85</v>
      </c>
      <c r="E17" s="10"/>
      <c r="F17" s="5" t="s">
        <v>30</v>
      </c>
      <c r="G17" s="8" t="str">
        <f t="shared" si="0"/>
        <v>1560 Howard St,Elk Grove Village,IL 60007,USA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3:25" ht="19">
      <c r="C18" s="13" t="s">
        <v>52</v>
      </c>
      <c r="E18" s="10"/>
      <c r="F18" s="5" t="s">
        <v>32</v>
      </c>
      <c r="G18" s="8" t="str">
        <f t="shared" si="0"/>
        <v>160 Southcreek Pkwy, Romeoville, IL 60446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3:25" ht="19">
      <c r="C19" s="13" t="s">
        <v>86</v>
      </c>
      <c r="E19" s="10"/>
      <c r="F19" s="4" t="s">
        <v>13</v>
      </c>
      <c r="G19" s="8" t="str">
        <f t="shared" si="0"/>
        <v>16317 W Prologis Pkwy,Lockport,IL 60441,USA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3:25" ht="19">
      <c r="C20" s="13" t="s">
        <v>87</v>
      </c>
      <c r="E20" s="10"/>
      <c r="F20" s="4" t="s">
        <v>14</v>
      </c>
      <c r="G20" s="8" t="str">
        <f t="shared" si="0"/>
        <v>179 S South Creek Pkwy
Romeoville, Will, Illinois, United States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3:25" ht="19">
      <c r="C21" s="13" t="s">
        <v>88</v>
      </c>
      <c r="E21" s="10"/>
      <c r="F21" s="6" t="s">
        <v>37</v>
      </c>
      <c r="G21" s="8" t="str">
        <f t="shared" si="0"/>
        <v>1910 E Devon Ave,Elk Grove Village,IL 60007,USA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3:25" ht="19">
      <c r="C22" s="13" t="s">
        <v>89</v>
      </c>
      <c r="E22" s="10"/>
      <c r="F22" s="5" t="s">
        <v>39</v>
      </c>
      <c r="G22" s="8" t="str">
        <f t="shared" si="0"/>
        <v/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3:25" ht="19">
      <c r="C23" s="13" t="s">
        <v>90</v>
      </c>
      <c r="E23" s="10"/>
      <c r="F23" s="6" t="s">
        <v>42</v>
      </c>
      <c r="G23" s="8" t="str">
        <f t="shared" si="0"/>
        <v>2145 Internationale Pkwy Suite 800, Woodridge,Illinois,60517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3:25" ht="19">
      <c r="C24" s="13" t="s">
        <v>91</v>
      </c>
      <c r="E24" s="10"/>
      <c r="F24" s="4" t="s">
        <v>16</v>
      </c>
      <c r="G24" s="8" t="str">
        <f t="shared" si="0"/>
        <v>2312 Touhy Ave Unit B Elk Grove Village IL</v>
      </c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1"/>
      <c r="S24" s="11"/>
      <c r="T24" s="11"/>
      <c r="U24" s="11"/>
      <c r="V24" s="11"/>
      <c r="W24" s="11"/>
      <c r="X24" s="11"/>
      <c r="Y24" s="11"/>
    </row>
    <row r="25" spans="3:25" ht="19">
      <c r="C25" s="13" t="s">
        <v>92</v>
      </c>
      <c r="E25" s="10"/>
      <c r="F25" s="5" t="s">
        <v>44</v>
      </c>
      <c r="G25" s="8" t="str">
        <f t="shared" si="0"/>
        <v>2375 Pratt Blvd,Elk Grove Village,IL 60007,USA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3:25" ht="19">
      <c r="C26" s="13" t="s">
        <v>93</v>
      </c>
      <c r="E26" s="10"/>
      <c r="F26" s="6" t="s">
        <v>47</v>
      </c>
      <c r="G26" s="8" t="str">
        <f t="shared" si="0"/>
        <v>24119 W RIVERWALK CT","UNIT 101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3:25" ht="16">
      <c r="C27" s="13" t="s">
        <v>94</v>
      </c>
      <c r="E27" s="10"/>
      <c r="F27" s="4" t="s">
        <v>18</v>
      </c>
      <c r="G27" s="8" t="str">
        <f t="shared" si="0"/>
        <v/>
      </c>
    </row>
    <row r="28" spans="3:25" ht="16">
      <c r="C28" s="13" t="s">
        <v>95</v>
      </c>
      <c r="E28" s="10"/>
      <c r="F28" s="4" t="s">
        <v>21</v>
      </c>
      <c r="G28" s="8" t="str">
        <f t="shared" si="0"/>
        <v>2580 Prospect Ct,Aurora,IL 60502,USA</v>
      </c>
    </row>
    <row r="29" spans="3:25" ht="16">
      <c r="C29" s="13" t="s">
        <v>96</v>
      </c>
      <c r="E29" s="10"/>
      <c r="F29" s="6" t="s">
        <v>49</v>
      </c>
      <c r="G29" s="8" t="str">
        <f t="shared" si="0"/>
        <v/>
      </c>
    </row>
    <row r="30" spans="3:25" ht="16">
      <c r="C30" s="13" t="s">
        <v>97</v>
      </c>
      <c r="E30" s="10"/>
      <c r="F30" s="4" t="s">
        <v>23</v>
      </c>
      <c r="G30" s="8" t="str">
        <f t="shared" si="0"/>
        <v>2606 S Halsted St Ste 1</v>
      </c>
    </row>
    <row r="31" spans="3:25" ht="16">
      <c r="C31" s="13" t="s">
        <v>98</v>
      </c>
      <c r="E31" s="10"/>
      <c r="F31" s="5" t="s">
        <v>50</v>
      </c>
      <c r="G31" s="8" t="str">
        <f t="shared" si="0"/>
        <v>2701 S Western Ave,Chicago,IL 60608,USA</v>
      </c>
    </row>
    <row r="32" spans="3:25" ht="16">
      <c r="C32" s="13" t="s">
        <v>99</v>
      </c>
      <c r="E32" s="10"/>
      <c r="F32" s="5" t="s">
        <v>52</v>
      </c>
      <c r="G32" s="8" t="str">
        <f t="shared" si="0"/>
        <v/>
      </c>
    </row>
    <row r="33" spans="3:7" ht="16">
      <c r="C33" s="13" t="s">
        <v>100</v>
      </c>
      <c r="E33" s="10"/>
      <c r="F33" s="4" t="s">
        <v>24</v>
      </c>
      <c r="G33" s="8" t="str">
        <f t="shared" si="0"/>
        <v>2760 BEVERLY DR UNIT 3","UNIT 3</v>
      </c>
    </row>
    <row r="34" spans="3:7" ht="16">
      <c r="D34" s="10"/>
      <c r="E34" s="10"/>
      <c r="F34" s="5" t="s">
        <v>53</v>
      </c>
      <c r="G34" s="8" t="str">
        <f t="shared" si="0"/>
        <v>2801 S Western Ave,Chicago,IL 60608,USA</v>
      </c>
    </row>
    <row r="35" spans="3:7" ht="16">
      <c r="D35" s="10"/>
      <c r="E35" s="10"/>
      <c r="F35" s="5" t="s">
        <v>54</v>
      </c>
      <c r="G35" s="8" t="str">
        <f t="shared" si="0"/>
        <v>2901 W 36th Pl,Chicago,IL 60632,USA</v>
      </c>
    </row>
    <row r="36" spans="3:7" ht="16">
      <c r="D36" s="10"/>
      <c r="E36" s="10"/>
      <c r="F36" s="6" t="s">
        <v>55</v>
      </c>
      <c r="G36" s="8" t="str">
        <f t="shared" si="0"/>
        <v>320 OVERLAND DR,North Aurora, Kane,IL</v>
      </c>
    </row>
    <row r="37" spans="3:7" ht="16">
      <c r="D37" s="10"/>
      <c r="E37" s="10"/>
      <c r="F37" s="4" t="s">
        <v>25</v>
      </c>
      <c r="G37" s="8" t="str">
        <f t="shared" si="0"/>
        <v>360 Veterans Pkwy STE 110 Illinois - Bolingbrook</v>
      </c>
    </row>
    <row r="38" spans="3:7" ht="16">
      <c r="D38" s="10"/>
      <c r="E38" s="10"/>
      <c r="F38" s="4" t="s">
        <v>27</v>
      </c>
      <c r="G38" s="8" t="str">
        <f t="shared" si="0"/>
        <v/>
      </c>
    </row>
    <row r="39" spans="3:7" ht="16">
      <c r="D39" s="10"/>
      <c r="E39" s="10"/>
      <c r="F39" s="5" t="s">
        <v>57</v>
      </c>
      <c r="G39" s="8" t="str">
        <f t="shared" si="0"/>
        <v>4101 W 42nd Pl, Chicago, IL 60632,USA</v>
      </c>
    </row>
    <row r="40" spans="3:7" ht="16">
      <c r="D40" s="10"/>
      <c r="E40" s="10"/>
      <c r="F40" s="5" t="s">
        <v>59</v>
      </c>
      <c r="G40" s="8" t="str">
        <f t="shared" si="0"/>
        <v>4275 Ferry Rd, Aurora, IL 60502, USA</v>
      </c>
    </row>
    <row r="41" spans="3:7" ht="16">
      <c r="D41" s="10"/>
      <c r="E41" s="10"/>
      <c r="F41" s="4" t="s">
        <v>29</v>
      </c>
      <c r="G41" s="8" t="str">
        <f t="shared" si="0"/>
        <v>460 Gibraltar Dr,Bolingbrook,IL 60440,USA</v>
      </c>
    </row>
    <row r="42" spans="3:7" ht="16">
      <c r="D42" s="10"/>
      <c r="E42" s="10"/>
      <c r="F42" s="5" t="s">
        <v>60</v>
      </c>
      <c r="G42" s="8" t="str">
        <f t="shared" si="0"/>
        <v>500 Windy Point Dr,Glendale Heights,IL 60139,USA</v>
      </c>
    </row>
    <row r="43" spans="3:7" ht="16">
      <c r="D43" s="10"/>
      <c r="E43" s="10"/>
      <c r="F43" s="5" t="s">
        <v>61</v>
      </c>
      <c r="G43" s="8" t="str">
        <f t="shared" si="0"/>
        <v>5248 S Cicero Ave,Chicago,IL 60638,USA</v>
      </c>
    </row>
    <row r="44" spans="3:7" ht="16">
      <c r="D44" s="10"/>
      <c r="E44" s="10"/>
      <c r="F44" s="6" t="s">
        <v>56</v>
      </c>
      <c r="G44" s="8" t="str">
        <f t="shared" si="0"/>
        <v>5610 W Bloomingdale Ave</v>
      </c>
    </row>
    <row r="45" spans="3:7" ht="16">
      <c r="D45" s="10"/>
      <c r="E45" s="10"/>
      <c r="F45" s="4" t="s">
        <v>31</v>
      </c>
      <c r="G45" s="8" t="str">
        <f t="shared" si="0"/>
        <v/>
      </c>
    </row>
    <row r="46" spans="3:7" ht="16">
      <c r="D46" s="10"/>
      <c r="E46" s="10"/>
      <c r="F46" s="5" t="s">
        <v>63</v>
      </c>
      <c r="G46" s="8" t="str">
        <f t="shared" si="0"/>
        <v>7000 W 60th St,Chicago,IL 60638,USA</v>
      </c>
    </row>
    <row r="47" spans="3:7" ht="16">
      <c r="D47" s="10"/>
      <c r="E47" s="10"/>
      <c r="F47" s="4" t="s">
        <v>34</v>
      </c>
      <c r="G47" s="8" t="str">
        <f t="shared" si="0"/>
        <v>802 GREENLEAF AVE</v>
      </c>
    </row>
    <row r="48" spans="3:7" ht="16">
      <c r="D48" s="10"/>
      <c r="E48" s="10"/>
      <c r="F48" s="4" t="s">
        <v>35</v>
      </c>
      <c r="G48" s="8" t="str">
        <f t="shared" si="0"/>
        <v>860 SIVERT DR</v>
      </c>
    </row>
    <row r="49" spans="4:7" ht="16">
      <c r="D49" s="10"/>
      <c r="E49" s="10"/>
      <c r="F49" s="5" t="s">
        <v>64</v>
      </c>
      <c r="G49" s="8" t="str">
        <f t="shared" si="0"/>
        <v>880 ENTERPRISE ST, STE B</v>
      </c>
    </row>
    <row r="50" spans="4:7" ht="16">
      <c r="D50" s="10"/>
      <c r="E50" s="10"/>
      <c r="F50" s="4" t="s">
        <v>36</v>
      </c>
      <c r="G50" s="8" t="str">
        <f t="shared" si="0"/>
        <v>900 CARLOW DR","STE B</v>
      </c>
    </row>
    <row r="51" spans="4:7" ht="16">
      <c r="D51" s="10"/>
      <c r="E51" s="10"/>
      <c r="F51" s="4" t="s">
        <v>38</v>
      </c>
      <c r="G51" s="8" t="str">
        <f t="shared" si="0"/>
        <v>900 Knell St Unit C,Montgomery,IL 60538,USA</v>
      </c>
    </row>
    <row r="52" spans="4:7" ht="16">
      <c r="D52" s="10"/>
      <c r="E52" s="10"/>
      <c r="F52" s="4" t="s">
        <v>41</v>
      </c>
      <c r="G52" s="8" t="str">
        <f t="shared" si="0"/>
        <v>9020 Murphy road dock 19</v>
      </c>
    </row>
    <row r="53" spans="4:7" ht="16">
      <c r="D53" s="10"/>
      <c r="E53" s="10"/>
      <c r="F53" s="4" t="s">
        <v>43</v>
      </c>
      <c r="G53" s="8" t="str">
        <f t="shared" si="0"/>
        <v/>
      </c>
    </row>
    <row r="54" spans="4:7" ht="16">
      <c r="D54" s="10"/>
      <c r="E54" s="10"/>
      <c r="F54" s="1">
        <v>3348</v>
      </c>
      <c r="G54" s="8">
        <f t="shared" si="0"/>
        <v>3348</v>
      </c>
    </row>
    <row r="55" spans="4:7" ht="16">
      <c r="D55" s="10"/>
    </row>
    <row r="57" spans="4:7">
      <c r="F57" s="7" t="s">
        <v>72</v>
      </c>
      <c r="G57" s="7"/>
    </row>
    <row r="58" spans="4:7">
      <c r="F58" s="7" t="s">
        <v>69</v>
      </c>
      <c r="G58" s="7"/>
    </row>
    <row r="60" spans="4:7">
      <c r="F60" s="7" t="s">
        <v>67</v>
      </c>
      <c r="G60" s="7"/>
    </row>
    <row r="61" spans="4:7">
      <c r="F61" s="7" t="s">
        <v>68</v>
      </c>
      <c r="G61" s="7"/>
    </row>
    <row r="62" spans="4:7">
      <c r="F62" s="7" t="s">
        <v>71</v>
      </c>
    </row>
  </sheetData>
  <sortState xmlns:xlrd2="http://schemas.microsoft.com/office/spreadsheetml/2017/richdata2" ref="D10:D27">
    <sortCondition ref="D10:D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hudan</dc:creator>
  <cp:lastModifiedBy>HA1133</cp:lastModifiedBy>
  <dcterms:created xsi:type="dcterms:W3CDTF">2026-05-22T03:25:00Z</dcterms:created>
  <dcterms:modified xsi:type="dcterms:W3CDTF">2026-06-18T22:34:22Z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8B9FC1B545664A909CC2D0159BAC2B87_11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